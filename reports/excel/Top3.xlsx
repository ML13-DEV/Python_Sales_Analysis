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nuel Lombardi\OneDrive\Escritorio\Análisis ventas\reports\excel\"/>
    </mc:Choice>
  </mc:AlternateContent>
  <xr:revisionPtr revIDLastSave="0" documentId="13_ncr:1_{84DE9C62-7D99-4CA4-A01B-FFD539A12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M3" i="1"/>
  <c r="M4" i="1"/>
  <c r="M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<sst xmlns="http://schemas.openxmlformats.org/spreadsheetml/2006/main" count="58" uniqueCount="21">
  <si>
    <t>Producto</t>
  </si>
  <si>
    <t>Provincia</t>
  </si>
  <si>
    <t>Cantidad</t>
  </si>
  <si>
    <t>Cuenca Golfo San Jorge - Chubut (Escalante)</t>
  </si>
  <si>
    <t>Buenos Aires</t>
  </si>
  <si>
    <t>Cuenca Golfo San Jorge - Santa Cruz (Cañadón Seco)</t>
  </si>
  <si>
    <t>Cuenca Neuquina - Neuquen (Medanito)</t>
  </si>
  <si>
    <t>Capital Federal</t>
  </si>
  <si>
    <t>Chubut</t>
  </si>
  <si>
    <t>Santa Cruz</t>
  </si>
  <si>
    <t>Córdoba</t>
  </si>
  <si>
    <t>La Pampa</t>
  </si>
  <si>
    <t>Mendoza</t>
  </si>
  <si>
    <t>Neuquén</t>
  </si>
  <si>
    <t>no aplica</t>
  </si>
  <si>
    <t>Rio Negro</t>
  </si>
  <si>
    <t>S/D</t>
  </si>
  <si>
    <t>Salta</t>
  </si>
  <si>
    <t>Santa Fe</t>
  </si>
  <si>
    <t>Tucuman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</si>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</sst>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" fontId="0" fillId="3" borderId="1" xfId="0" applyNumberFormat="1" applyFill="1" applyBorder="1"/>
    <xf numFmtId="0" fontId="6" fillId="2" borderId="1" xfId="0" applyFont="1" applyFill="1" applyBorder="1" applyAlignment="1">
      <alignment horizontal="center" vertical="top"/>
    </xf>
    <xf numFmtId="10" fontId="5" fillId="3" borderId="1" xfId="0" applyNumberFormat="1" applyFont="1" applyFill="1" applyBorder="1" applyAlignment="1">
      <alignment horizontal="center" vertical="top"/>
    </xf>
    <xf numFmtId="10" fontId="0" fillId="3" borderId="1" xfId="1" applyNumberFormat="1" applyFont="1" applyFill="1" applyBorder="1"/>
    <xf numFmtId="4" fontId="5" fillId="3" borderId="1" xfId="0" applyNumberFormat="1" applyFont="1" applyFill="1" applyBorder="1" applyAlignment="1">
      <alignment horizontal="center" vertical="top"/>
    </xf>
    <xf numFmtId="166" fontId="0" fillId="3" borderId="1" xfId="0" applyNumberFormat="1" applyFill="1" applyBorder="1"/>
    <xf numFmtId="10" fontId="0" fillId="3" borderId="1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Cuenca Golfo San Jorge - Chubut (Escalante)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'Top3'!$C$1</c:f>
              <c:strCache>
                <c:ptCount val="1"/>
                <c:pt idx="0">
                  <c:v>Pct</c:v>
                </c:pt>
              </c:strCache>
            </c:strRef>
          </c:tx>
          <c:explosion val="4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F3-4930-9B8E-DA5CE696D1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F3-4930-9B8E-DA5CE696D1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F3-4930-9B8E-DA5CE696D11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F3-4930-9B8E-DA5CE696D11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F3-4930-9B8E-DA5CE696D11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F3-4930-9B8E-DA5CE696D11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F3-4930-9B8E-DA5CE696D11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F3-4930-9B8E-DA5CE696D11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F3-4930-9B8E-DA5CE696D11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F3-4930-9B8E-DA5CE696D11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9F3-4930-9B8E-DA5CE696D11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'Top3'!$B$2:$B$12</c:f>
              <c:strCache>
                <c:ptCount val="11"/>
                <c:pt idx="0">
                  <c:v>Buenos Aires</c:v>
                </c:pt>
                <c:pt idx="1">
                  <c:v>Capital Federal</c:v>
                </c:pt>
                <c:pt idx="2">
                  <c:v>Chubut</c:v>
                </c:pt>
                <c:pt idx="3">
                  <c:v>Córdoba</c:v>
                </c:pt>
                <c:pt idx="4">
                  <c:v>Mendoza</c:v>
                </c:pt>
                <c:pt idx="5">
                  <c:v>Neuquén</c:v>
                </c:pt>
                <c:pt idx="6">
                  <c:v>no aplica</c:v>
                </c:pt>
                <c:pt idx="7">
                  <c:v>S/D</c:v>
                </c:pt>
                <c:pt idx="8">
                  <c:v>Salta</c:v>
                </c:pt>
                <c:pt idx="9">
                  <c:v>Santa Cruz</c:v>
                </c:pt>
                <c:pt idx="10">
                  <c:v>Tucuman</c:v>
                </c:pt>
              </c:strCache>
            </c:strRef>
          </c:cat>
          <c:val>
            <c:numRef>
              <c:f>'Top3'!$C$2:$C$12</c:f>
              <c:numCache>
                <c:formatCode>0.00%</c:formatCode>
                <c:ptCount val="11"/>
                <c:pt idx="0">
                  <c:v>1.294983166059842E-2</c:v>
                </c:pt>
                <c:pt idx="1">
                  <c:v>1.8897903847624707E-2</c:v>
                </c:pt>
                <c:pt idx="2">
                  <c:v>0.81932041230824415</c:v>
                </c:pt>
                <c:pt idx="3">
                  <c:v>3.9312563294893488E-4</c:v>
                </c:pt>
                <c:pt idx="4">
                  <c:v>3.577690036212137E-5</c:v>
                </c:pt>
                <c:pt idx="5">
                  <c:v>2.8261822895578103E-4</c:v>
                </c:pt>
                <c:pt idx="6">
                  <c:v>1.5324403416190086E-2</c:v>
                </c:pt>
                <c:pt idx="7">
                  <c:v>8.7479376282063301E-2</c:v>
                </c:pt>
                <c:pt idx="8">
                  <c:v>4.4836706467886423E-4</c:v>
                </c:pt>
                <c:pt idx="9">
                  <c:v>4.4813340483687493E-2</c:v>
                </c:pt>
                <c:pt idx="10">
                  <c:v>5.4844174646353984E-5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7-4220-99A6-C1CCF09F4E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Cuenca Golfo San Jorge - Santa Cruz (Cañadón Seco)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'Top3'!$M$1</c:f>
              <c:strCache>
                <c:ptCount val="1"/>
                <c:pt idx="0">
                  <c:v>Pct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5A-4894-BB49-771498E5D2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3C-47B4-884F-2CA1E859E6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5A-4894-BB49-771498E5D2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'Top3'!$L$2:$L$4</c:f>
              <c:strCache>
                <c:ptCount val="3"/>
                <c:pt idx="0">
                  <c:v>Buenos Aires</c:v>
                </c:pt>
                <c:pt idx="1">
                  <c:v>Capital Federal</c:v>
                </c:pt>
                <c:pt idx="2">
                  <c:v>Santa Cruz</c:v>
                </c:pt>
              </c:strCache>
            </c:strRef>
          </c:cat>
          <c:val>
            <c:numRef>
              <c:f>'Top3'!$M$2:$M$4</c:f>
              <c:numCache>
                <c:formatCode>0.00%</c:formatCode>
                <c:ptCount val="3"/>
                <c:pt idx="0">
                  <c:v>0.82897563343925829</c:v>
                </c:pt>
                <c:pt idx="1">
                  <c:v>9.0249926362833827E-3</c:v>
                </c:pt>
                <c:pt idx="2">
                  <c:v>0.16199937392445837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C-47B4-884F-2CA1E859E6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Cuenca Neuquina - Neuquen (Medanito)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'Top3'!$H$1</c:f>
              <c:strCache>
                <c:ptCount val="1"/>
                <c:pt idx="0">
                  <c:v>Pct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34-43C3-8434-2C6ADE854E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34-43C3-8434-2C6ADE854E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DD-450F-B381-E7DA31152C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DD-450F-B381-E7DA31152C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34-43C3-8434-2C6ADE854EE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A34-43C3-8434-2C6ADE854EE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9DD-450F-B381-E7DA31152C5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9DD-450F-B381-E7DA31152C5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9DD-450F-B381-E7DA31152C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'Top3'!$G$2:$G$10</c:f>
              <c:strCache>
                <c:ptCount val="9"/>
                <c:pt idx="0">
                  <c:v>Buenos Aires</c:v>
                </c:pt>
                <c:pt idx="1">
                  <c:v>Capital Federal</c:v>
                </c:pt>
                <c:pt idx="2">
                  <c:v>Chubut</c:v>
                </c:pt>
                <c:pt idx="3">
                  <c:v>La Pampa</c:v>
                </c:pt>
                <c:pt idx="4">
                  <c:v>Neuquén</c:v>
                </c:pt>
                <c:pt idx="5">
                  <c:v>no aplica</c:v>
                </c:pt>
                <c:pt idx="6">
                  <c:v>Rio Negro</c:v>
                </c:pt>
                <c:pt idx="7">
                  <c:v>S/D</c:v>
                </c:pt>
                <c:pt idx="8">
                  <c:v>Santa Fe</c:v>
                </c:pt>
              </c:strCache>
            </c:strRef>
          </c:cat>
          <c:val>
            <c:numRef>
              <c:f>'Top3'!$H$2:$H$10</c:f>
              <c:numCache>
                <c:formatCode>0.00%</c:formatCode>
                <c:ptCount val="9"/>
                <c:pt idx="0">
                  <c:v>0.51149127693714869</c:v>
                </c:pt>
                <c:pt idx="1">
                  <c:v>0.27033171388390381</c:v>
                </c:pt>
                <c:pt idx="2">
                  <c:v>1.8707838324449208E-4</c:v>
                </c:pt>
                <c:pt idx="3">
                  <c:v>1.2744945882879158E-4</c:v>
                </c:pt>
                <c:pt idx="4">
                  <c:v>0.14606696698442406</c:v>
                </c:pt>
                <c:pt idx="5">
                  <c:v>5.3433561046871879E-2</c:v>
                </c:pt>
                <c:pt idx="6">
                  <c:v>1.7930119425712244E-3</c:v>
                </c:pt>
                <c:pt idx="7">
                  <c:v>1.5461217751057252E-2</c:v>
                </c:pt>
                <c:pt idx="8">
                  <c:v>1.1077236119497146E-3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4-43C3-8434-2C6ADE854E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4763</xdr:rowOff>
    </xdr:from>
    <xdr:to>
      <xdr:col>4</xdr:col>
      <xdr:colOff>0</xdr:colOff>
      <xdr:row>32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455F8-0D09-B51D-8878-8CD89C3ED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13</xdr:row>
      <xdr:rowOff>4761</xdr:rowOff>
    </xdr:from>
    <xdr:to>
      <xdr:col>14</xdr:col>
      <xdr:colOff>69272</xdr:colOff>
      <xdr:row>32</xdr:row>
      <xdr:rowOff>51954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D16054-F925-2BD3-4D32-304FD6D43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3465</xdr:colOff>
      <xdr:row>13</xdr:row>
      <xdr:rowOff>0</xdr:rowOff>
    </xdr:from>
    <xdr:to>
      <xdr:col>9</xdr:col>
      <xdr:colOff>17320</xdr:colOff>
      <xdr:row>32</xdr:row>
      <xdr:rowOff>6928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0BEA6D-47FB-A88E-6C4B-FC6D3CE1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Normal="100" workbookViewId="0">
      <selection activeCell="K8" sqref="K8"/>
    </sheetView>
  </sheetViews>
  <sheetFormatPr baseColWidth="10" defaultColWidth="9.140625" defaultRowHeight="15" x14ac:dyDescent="0.25"/>
  <cols>
    <col min="1" max="1" width="39.28515625" customWidth="1"/>
    <col min="2" max="2" width="15.7109375" customWidth="1"/>
    <col min="3" max="3" width="11.7109375" customWidth="1"/>
    <col min="4" max="4" width="15" customWidth="1"/>
    <col min="6" max="6" width="47" customWidth="1"/>
    <col min="7" max="7" width="14.42578125" customWidth="1"/>
    <col min="9" max="9" width="14.85546875" customWidth="1"/>
    <col min="11" max="11" width="46.42578125" customWidth="1"/>
    <col min="12" max="12" width="16.42578125" customWidth="1"/>
    <col min="14" max="14" width="14.85546875" customWidth="1"/>
  </cols>
  <sheetData>
    <row r="1" spans="1:16" x14ac:dyDescent="0.25">
      <c r="A1" s="3" t="s">
        <v>0</v>
      </c>
      <c r="B1" s="3" t="s">
        <v>1</v>
      </c>
      <c r="C1" s="6" t="s">
        <v>20</v>
      </c>
      <c r="D1" s="3" t="s">
        <v>2</v>
      </c>
      <c r="E1" s="2"/>
      <c r="F1" s="5" t="s">
        <v>0</v>
      </c>
      <c r="G1" s="3" t="s">
        <v>1</v>
      </c>
      <c r="H1" s="8" t="s">
        <v>20</v>
      </c>
      <c r="I1" s="3" t="s">
        <v>2</v>
      </c>
      <c r="J1" s="2"/>
      <c r="K1" s="3" t="s">
        <v>0</v>
      </c>
      <c r="L1" s="3" t="s">
        <v>1</v>
      </c>
      <c r="M1" s="8" t="s">
        <v>20</v>
      </c>
      <c r="N1" s="3" t="s">
        <v>2</v>
      </c>
      <c r="O1" s="1"/>
      <c r="P1" s="1"/>
    </row>
    <row r="2" spans="1:16" x14ac:dyDescent="0.25">
      <c r="A2" s="4" t="s">
        <v>3</v>
      </c>
      <c r="B2" s="4" t="s">
        <v>4</v>
      </c>
      <c r="C2" s="13">
        <f t="shared" ref="C2:C12" si="0">(D2/SUM($D$2:$D$12))</f>
        <v>1.294983166059842E-2</v>
      </c>
      <c r="D2" s="12">
        <v>449593.18699999998</v>
      </c>
      <c r="E2" s="1"/>
      <c r="F2" s="4" t="s">
        <v>6</v>
      </c>
      <c r="G2" s="4" t="s">
        <v>4</v>
      </c>
      <c r="H2" s="10">
        <f t="shared" ref="H2:H10" si="1">I2/SUM($I$2:$I$10)</f>
        <v>0.51149127693714869</v>
      </c>
      <c r="I2" s="11">
        <v>17435364.879999999</v>
      </c>
      <c r="K2" s="4" t="s">
        <v>5</v>
      </c>
      <c r="L2" s="4" t="s">
        <v>4</v>
      </c>
      <c r="M2" s="9">
        <f>N2/SUM($N$2:$N$4)</f>
        <v>0.82897563343925829</v>
      </c>
      <c r="N2" s="7">
        <v>15668352.177999999</v>
      </c>
    </row>
    <row r="3" spans="1:16" x14ac:dyDescent="0.25">
      <c r="A3" s="4" t="s">
        <v>3</v>
      </c>
      <c r="B3" s="4" t="s">
        <v>7</v>
      </c>
      <c r="C3" s="13">
        <f t="shared" si="0"/>
        <v>1.8897903847624707E-2</v>
      </c>
      <c r="D3" s="12">
        <v>656098.7849999998</v>
      </c>
      <c r="E3" s="1"/>
      <c r="F3" s="4" t="s">
        <v>6</v>
      </c>
      <c r="G3" s="4" t="s">
        <v>7</v>
      </c>
      <c r="H3" s="10">
        <f t="shared" si="1"/>
        <v>0.27033171388390381</v>
      </c>
      <c r="I3" s="11">
        <v>9214882.6045000013</v>
      </c>
      <c r="K3" s="4" t="s">
        <v>5</v>
      </c>
      <c r="L3" s="4" t="s">
        <v>7</v>
      </c>
      <c r="M3" s="9">
        <f>N3/SUM($N$2:$N$4)</f>
        <v>9.0249926362833827E-3</v>
      </c>
      <c r="N3" s="7">
        <v>170580.12</v>
      </c>
    </row>
    <row r="4" spans="1:16" x14ac:dyDescent="0.25">
      <c r="A4" s="4" t="s">
        <v>3</v>
      </c>
      <c r="B4" s="4" t="s">
        <v>8</v>
      </c>
      <c r="C4" s="13">
        <f t="shared" si="0"/>
        <v>0.81932041230824415</v>
      </c>
      <c r="D4" s="12">
        <v>28445225.003549989</v>
      </c>
      <c r="E4" s="1"/>
      <c r="F4" s="4" t="s">
        <v>6</v>
      </c>
      <c r="G4" s="4" t="s">
        <v>8</v>
      </c>
      <c r="H4" s="10">
        <f t="shared" si="1"/>
        <v>1.8707838324449208E-4</v>
      </c>
      <c r="I4" s="11">
        <v>6377</v>
      </c>
      <c r="K4" s="4" t="s">
        <v>5</v>
      </c>
      <c r="L4" s="4" t="s">
        <v>9</v>
      </c>
      <c r="M4" s="9">
        <f>N4/SUM($N$2:$N$4)</f>
        <v>0.16199937392445837</v>
      </c>
      <c r="N4" s="7">
        <v>3061927.4449999989</v>
      </c>
    </row>
    <row r="5" spans="1:16" x14ac:dyDescent="0.25">
      <c r="A5" s="4" t="s">
        <v>3</v>
      </c>
      <c r="B5" s="4" t="s">
        <v>10</v>
      </c>
      <c r="C5" s="13">
        <f t="shared" si="0"/>
        <v>3.9312563294893488E-4</v>
      </c>
      <c r="D5" s="12">
        <v>13648.564</v>
      </c>
      <c r="E5" s="1"/>
      <c r="F5" s="4" t="s">
        <v>6</v>
      </c>
      <c r="G5" s="4" t="s">
        <v>11</v>
      </c>
      <c r="H5" s="10">
        <f t="shared" si="1"/>
        <v>1.2744945882879158E-4</v>
      </c>
      <c r="I5" s="11">
        <v>4344.41</v>
      </c>
    </row>
    <row r="6" spans="1:16" x14ac:dyDescent="0.25">
      <c r="A6" s="4" t="s">
        <v>3</v>
      </c>
      <c r="B6" s="4" t="s">
        <v>12</v>
      </c>
      <c r="C6" s="13">
        <f t="shared" si="0"/>
        <v>3.577690036212137E-5</v>
      </c>
      <c r="D6" s="12">
        <v>1242.105</v>
      </c>
      <c r="E6" s="1"/>
      <c r="F6" s="4" t="s">
        <v>6</v>
      </c>
      <c r="G6" s="4" t="s">
        <v>13</v>
      </c>
      <c r="H6" s="10">
        <f t="shared" si="1"/>
        <v>0.14606696698442406</v>
      </c>
      <c r="I6" s="11">
        <v>4979030.8869749997</v>
      </c>
    </row>
    <row r="7" spans="1:16" x14ac:dyDescent="0.25">
      <c r="A7" s="4" t="s">
        <v>3</v>
      </c>
      <c r="B7" s="4" t="s">
        <v>13</v>
      </c>
      <c r="C7" s="13">
        <f t="shared" si="0"/>
        <v>2.8261822895578103E-4</v>
      </c>
      <c r="D7" s="12">
        <v>9811.9599999999991</v>
      </c>
      <c r="E7" s="1"/>
      <c r="F7" s="4" t="s">
        <v>6</v>
      </c>
      <c r="G7" s="4" t="s">
        <v>14</v>
      </c>
      <c r="H7" s="10">
        <f t="shared" si="1"/>
        <v>5.3433561046871879E-2</v>
      </c>
      <c r="I7" s="11">
        <v>1821406.6900000011</v>
      </c>
    </row>
    <row r="8" spans="1:16" x14ac:dyDescent="0.25">
      <c r="A8" s="4" t="s">
        <v>3</v>
      </c>
      <c r="B8" s="4" t="s">
        <v>14</v>
      </c>
      <c r="C8" s="13">
        <f t="shared" si="0"/>
        <v>1.5324403416190086E-2</v>
      </c>
      <c r="D8" s="12">
        <v>532033.74</v>
      </c>
      <c r="E8" s="1"/>
      <c r="F8" s="4" t="s">
        <v>6</v>
      </c>
      <c r="G8" s="4" t="s">
        <v>15</v>
      </c>
      <c r="H8" s="10">
        <f t="shared" si="1"/>
        <v>1.7930119425712244E-3</v>
      </c>
      <c r="I8" s="11">
        <v>61118.964999999997</v>
      </c>
    </row>
    <row r="9" spans="1:16" x14ac:dyDescent="0.25">
      <c r="A9" s="4" t="s">
        <v>3</v>
      </c>
      <c r="B9" s="4" t="s">
        <v>16</v>
      </c>
      <c r="C9" s="13">
        <f t="shared" si="0"/>
        <v>8.7479376282063301E-2</v>
      </c>
      <c r="D9" s="12">
        <v>3037115.277652001</v>
      </c>
      <c r="E9" s="1"/>
      <c r="F9" s="4" t="s">
        <v>6</v>
      </c>
      <c r="G9" s="4" t="s">
        <v>16</v>
      </c>
      <c r="H9" s="10">
        <f t="shared" si="1"/>
        <v>1.5461217751057252E-2</v>
      </c>
      <c r="I9" s="11">
        <v>527031.41799999995</v>
      </c>
    </row>
    <row r="10" spans="1:16" x14ac:dyDescent="0.25">
      <c r="A10" s="4" t="s">
        <v>3</v>
      </c>
      <c r="B10" s="4" t="s">
        <v>17</v>
      </c>
      <c r="C10" s="13">
        <f t="shared" si="0"/>
        <v>4.4836706467886423E-4</v>
      </c>
      <c r="D10" s="12">
        <v>15566.44</v>
      </c>
      <c r="E10" s="1"/>
      <c r="F10" s="4" t="s">
        <v>6</v>
      </c>
      <c r="G10" s="4" t="s">
        <v>18</v>
      </c>
      <c r="H10" s="10">
        <f t="shared" si="1"/>
        <v>1.1077236119497146E-3</v>
      </c>
      <c r="I10" s="11">
        <v>37759.324999999997</v>
      </c>
    </row>
    <row r="11" spans="1:16" x14ac:dyDescent="0.25">
      <c r="A11" s="4" t="s">
        <v>3</v>
      </c>
      <c r="B11" s="4" t="s">
        <v>9</v>
      </c>
      <c r="C11" s="13">
        <f t="shared" si="0"/>
        <v>4.4813340483687493E-2</v>
      </c>
      <c r="D11" s="12">
        <v>1555832.7780800001</v>
      </c>
      <c r="E11" s="1"/>
    </row>
    <row r="12" spans="1:16" x14ac:dyDescent="0.25">
      <c r="A12" s="4" t="s">
        <v>3</v>
      </c>
      <c r="B12" s="4" t="s">
        <v>19</v>
      </c>
      <c r="C12" s="13">
        <f t="shared" si="0"/>
        <v>5.4844174646353984E-5</v>
      </c>
      <c r="D12" s="12">
        <v>1904.0840000000001</v>
      </c>
      <c r="E1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Lombardi</dc:creator>
  <cp:lastModifiedBy>Manuel Lombardi</cp:lastModifiedBy>
  <dcterms:created xsi:type="dcterms:W3CDTF">2025-08-15T19:51:54Z</dcterms:created>
  <dcterms:modified xsi:type="dcterms:W3CDTF">2025-11-26T19:37:17Z</dcterms:modified>
</cp:coreProperties>
</file>